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Shopping" sheetId="1" state="visible" r:id="rId1"/>
    <sheet xmlns:r="http://schemas.openxmlformats.org/officeDocument/2006/relationships" name="Category Mark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&quot;%&quot;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26" customWidth="1" min="9" max="9"/>
  </cols>
  <sheetData>
    <row r="1">
      <c r="A1" s="1" t="inlineStr">
        <is>
          <t>Pelican Price Shopping vs Market (July 2026)</t>
        </is>
      </c>
    </row>
    <row r="3">
      <c r="A3" s="2" t="inlineStr">
        <is>
          <t>#</t>
        </is>
      </c>
      <c r="B3" s="2" t="inlineStr">
        <is>
          <t>Category</t>
        </is>
      </c>
      <c r="C3" s="2" t="inlineStr">
        <is>
          <t>Item</t>
        </is>
      </c>
      <c r="D3" s="2" t="inlineStr">
        <is>
          <t>Size</t>
        </is>
      </c>
      <c r="E3" s="2" t="inlineStr">
        <is>
          <t>Our Cost</t>
        </is>
      </c>
      <c r="F3" s="2" t="inlineStr">
        <is>
          <t>Market Low</t>
        </is>
      </c>
      <c r="G3" s="2" t="inlineStr">
        <is>
          <t>Market High</t>
        </is>
      </c>
      <c r="H3" s="2" t="inlineStr">
        <is>
          <t>Typical Retail</t>
        </is>
      </c>
      <c r="I3" s="2" t="inlineStr">
        <is>
          <t>Implied Competitive Markup</t>
        </is>
      </c>
    </row>
    <row r="4">
      <c r="A4" s="3" t="n">
        <v>1</v>
      </c>
      <c r="B4" s="4" t="inlineStr">
        <is>
          <t>Flooring</t>
        </is>
      </c>
      <c r="C4" s="4" t="inlineStr">
        <is>
          <t>20 mil dryback LVP plank (Aviles/Leyden/River)</t>
        </is>
      </c>
      <c r="D4" s="4" t="inlineStr">
        <is>
          <t>~30-36 sq ft/box</t>
        </is>
      </c>
      <c r="E4" s="5" t="n">
        <v>58</v>
      </c>
      <c r="F4" s="5" t="n">
        <v>60</v>
      </c>
      <c r="G4" s="5" t="n">
        <v>150</v>
      </c>
      <c r="H4" s="5" t="n">
        <v>97</v>
      </c>
      <c r="I4" s="3" t="inlineStr">
        <is>
          <t>~60-90%</t>
        </is>
      </c>
    </row>
    <row r="5">
      <c r="A5" s="3" t="n">
        <v>2</v>
      </c>
      <c r="B5" s="4" t="inlineStr">
        <is>
          <t>Quartz Slabs (Countertops)</t>
        </is>
      </c>
      <c r="C5" s="4" t="inlineStr">
        <is>
          <t>Nocturne 3cm Super Jumbo quartz slab</t>
        </is>
      </c>
      <c r="D5" s="4" t="inlineStr">
        <is>
          <t>138" x 79"</t>
        </is>
      </c>
      <c r="E5" s="5" t="n">
        <v>1350</v>
      </c>
      <c r="F5" s="5" t="n">
        <v>850</v>
      </c>
      <c r="G5" s="5" t="n">
        <v>1750</v>
      </c>
      <c r="H5" s="5" t="n">
        <v>1040</v>
      </c>
      <c r="I5" s="3" t="inlineStr">
        <is>
          <t>~10-25%</t>
        </is>
      </c>
    </row>
    <row r="6">
      <c r="A6" s="3" t="n">
        <v>3</v>
      </c>
      <c r="B6" s="4" t="inlineStr">
        <is>
          <t>Quartz Slabs (Countertops)</t>
        </is>
      </c>
      <c r="C6" s="4" t="inlineStr">
        <is>
          <t>Venezia 3cm Super Jumbo quartz slab</t>
        </is>
      </c>
      <c r="D6" s="4" t="inlineStr">
        <is>
          <t>138" x 79"</t>
        </is>
      </c>
      <c r="E6" s="5" t="n">
        <v>1250</v>
      </c>
      <c r="F6" s="5" t="n">
        <v>850</v>
      </c>
      <c r="G6" s="5" t="n">
        <v>1750</v>
      </c>
      <c r="H6" s="5" t="n">
        <v>1040</v>
      </c>
      <c r="I6" s="3" t="inlineStr">
        <is>
          <t>~15-30%</t>
        </is>
      </c>
    </row>
    <row r="7">
      <c r="A7" s="3" t="n">
        <v>4</v>
      </c>
      <c r="B7" s="4" t="inlineStr">
        <is>
          <t>Shower &amp; Bath</t>
        </is>
      </c>
      <c r="C7" s="4" t="inlineStr">
        <is>
          <t>Marble-look shower surround / wall panels</t>
        </is>
      </c>
      <c r="D7" s="4" t="inlineStr">
        <is>
          <t>60"x32"x96"</t>
        </is>
      </c>
      <c r="E7" s="5" t="n">
        <v>581.4299999999999</v>
      </c>
      <c r="F7" s="5" t="n">
        <v>450</v>
      </c>
      <c r="G7" s="5" t="n">
        <v>900</v>
      </c>
      <c r="H7" s="5" t="n">
        <v>649</v>
      </c>
      <c r="I7" s="3" t="inlineStr">
        <is>
          <t>~15-35%</t>
        </is>
      </c>
    </row>
    <row r="8">
      <c r="A8" s="3" t="n">
        <v>5</v>
      </c>
      <c r="B8" s="4" t="inlineStr">
        <is>
          <t>Sinks &amp; Faucets</t>
        </is>
      </c>
      <c r="C8" s="4" t="inlineStr">
        <is>
          <t>Enameled cast iron farmhouse sink (colored)</t>
        </is>
      </c>
      <c r="D8" s="4" t="inlineStr">
        <is>
          <t>apron front</t>
        </is>
      </c>
      <c r="E8" s="5" t="n">
        <v>971.4299999999999</v>
      </c>
      <c r="F8" s="5" t="n">
        <v>989</v>
      </c>
      <c r="G8" s="5" t="n">
        <v>1800</v>
      </c>
      <c r="H8" s="5" t="n">
        <v>1267</v>
      </c>
      <c r="I8" s="3" t="inlineStr">
        <is>
          <t>~30-50%</t>
        </is>
      </c>
    </row>
    <row r="9">
      <c r="A9" s="3" t="n">
        <v>6</v>
      </c>
      <c r="B9" s="4" t="inlineStr">
        <is>
          <t>Toilets &amp; Bidets</t>
        </is>
      </c>
      <c r="C9" s="4" t="inlineStr">
        <is>
          <t>One-piece smart/luxury toilet (matte black)</t>
        </is>
      </c>
      <c r="D9" s="4" t="inlineStr">
        <is>
          <t>one-piece</t>
        </is>
      </c>
      <c r="E9" s="5" t="n">
        <v>1569.99</v>
      </c>
      <c r="F9" s="5" t="n">
        <v>700</v>
      </c>
      <c r="G9" s="5" t="n">
        <v>2250</v>
      </c>
      <c r="H9" s="5" t="n">
        <v>1900</v>
      </c>
      <c r="I9" s="3" t="inlineStr">
        <is>
          <t>~25-45%</t>
        </is>
      </c>
    </row>
    <row r="10">
      <c r="A10" s="3" t="n">
        <v>7</v>
      </c>
      <c r="B10" s="4" t="inlineStr">
        <is>
          <t>Toilets &amp; Bidets</t>
        </is>
      </c>
      <c r="C10" s="4" t="inlineStr">
        <is>
          <t>One-piece toilet (white)</t>
        </is>
      </c>
      <c r="D10" s="4" t="inlineStr">
        <is>
          <t>one-piece</t>
        </is>
      </c>
      <c r="E10" s="5" t="n">
        <v>1159.99</v>
      </c>
      <c r="F10" s="5" t="n">
        <v>700</v>
      </c>
      <c r="G10" s="5" t="n">
        <v>2000</v>
      </c>
      <c r="H10" s="5" t="n">
        <v>1400</v>
      </c>
      <c r="I10" s="3" t="inlineStr">
        <is>
          <t>~25-45%</t>
        </is>
      </c>
    </row>
    <row r="11">
      <c r="A11" s="3" t="n">
        <v>8</v>
      </c>
      <c r="B11" s="4" t="inlineStr">
        <is>
          <t>Tile &amp; Mosaic</t>
        </is>
      </c>
      <c r="C11" s="4" t="inlineStr">
        <is>
          <t>Decorative / large-format tile panel</t>
        </is>
      </c>
      <c r="D11" s="4" t="inlineStr">
        <is>
          <t>48"-66"</t>
        </is>
      </c>
      <c r="E11" s="5" t="n">
        <v>399</v>
      </c>
      <c r="F11" s="5" t="n">
        <v>200</v>
      </c>
      <c r="G11" s="5" t="n">
        <v>900</v>
      </c>
      <c r="H11" s="5" t="n">
        <v>550</v>
      </c>
      <c r="I11" s="3" t="inlineStr">
        <is>
          <t>~40-60%</t>
        </is>
      </c>
    </row>
    <row r="12">
      <c r="A12" s="3" t="n">
        <v>9</v>
      </c>
      <c r="B12" s="4" t="inlineStr">
        <is>
          <t>Tile &amp; Mosaic</t>
        </is>
      </c>
      <c r="C12" s="4" t="inlineStr">
        <is>
          <t>Decorative tile panel (PL-O4922WBS)</t>
        </is>
      </c>
      <c r="D12" s="4" t="inlineStr">
        <is>
          <t>49" x 22"</t>
        </is>
      </c>
      <c r="E12" s="5" t="n">
        <v>195.33</v>
      </c>
      <c r="F12" s="5" t="n">
        <v>120</v>
      </c>
      <c r="G12" s="5" t="n">
        <v>500</v>
      </c>
      <c r="H12" s="5" t="n">
        <v>300</v>
      </c>
      <c r="I12" s="3" t="inlineStr">
        <is>
          <t>~45-65%</t>
        </is>
      </c>
    </row>
    <row r="14">
      <c r="A14" s="6" t="inlineStr">
        <is>
          <t>Notes: Our Cost = currently-imported listPrice (owner-confirmed cost). Market values from Home Depot, Lowe's, Kohler, Signature Hardware, quartz slab dealers, Floor &amp; Decor, etc.</t>
        </is>
      </c>
    </row>
  </sheetData>
  <mergeCells count="2">
    <mergeCell ref="A1:I1"/>
    <mergeCell ref="A14:I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6" customWidth="1" min="3" max="3"/>
    <col width="20" customWidth="1" min="4" max="4"/>
    <col width="14" customWidth="1" min="5" max="5"/>
    <col width="14" customWidth="1" min="6" max="6"/>
  </cols>
  <sheetData>
    <row r="1">
      <c r="A1" s="1" t="inlineStr">
        <is>
          <t>Recommended Per-Category Markups (Pelican line)</t>
        </is>
      </c>
    </row>
    <row r="2">
      <c r="A2" s="7" t="inlineStr">
        <is>
          <t>Editable in Admin &gt; Pricing &amp; Margins. Sell price = Cost x (1 + Markup%).</t>
        </is>
      </c>
    </row>
    <row r="4">
      <c r="A4" s="2" t="inlineStr">
        <is>
          <t>Category</t>
        </is>
      </c>
      <c r="B4" s="2" t="inlineStr">
        <is>
          <t>Cost Basis</t>
        </is>
      </c>
      <c r="C4" s="2" t="inlineStr">
        <is>
          <t>Market Read</t>
        </is>
      </c>
      <c r="D4" s="2" t="inlineStr">
        <is>
          <t>Recommended Markup %</t>
        </is>
      </c>
      <c r="E4" s="2" t="inlineStr">
        <is>
          <t>Example Cost</t>
        </is>
      </c>
      <c r="F4" s="2" t="inlineStr">
        <is>
          <t>Example Sell</t>
        </is>
      </c>
    </row>
    <row r="5">
      <c r="A5" s="4" t="inlineStr">
        <is>
          <t>Flooring</t>
        </is>
      </c>
      <c r="B5" s="4" t="inlineStr">
        <is>
          <t>$1.60-1.90/sq ft</t>
        </is>
      </c>
      <c r="C5" s="4" t="inlineStr">
        <is>
          <t>$2-5/sq ft</t>
        </is>
      </c>
      <c r="D5" s="8" t="n">
        <v>70</v>
      </c>
      <c r="E5" s="5" t="n">
        <v>58</v>
      </c>
      <c r="F5" s="5">
        <f>E5*(1+D5/100)</f>
        <v/>
      </c>
    </row>
    <row r="6">
      <c r="A6" s="4" t="inlineStr">
        <is>
          <t>Tile &amp; Mosaic</t>
        </is>
      </c>
      <c r="B6" s="4" t="inlineStr">
        <is>
          <t>$195-$399</t>
        </is>
      </c>
      <c r="C6" s="4" t="inlineStr">
        <is>
          <t>wide, high spread</t>
        </is>
      </c>
      <c r="D6" s="8" t="n">
        <v>55</v>
      </c>
      <c r="E6" s="5" t="n">
        <v>399</v>
      </c>
      <c r="F6" s="5">
        <f>E6*(1+D6/100)</f>
        <v/>
      </c>
    </row>
    <row r="7">
      <c r="A7" s="4" t="inlineStr">
        <is>
          <t>Sinks &amp; Faucets</t>
        </is>
      </c>
      <c r="B7" s="4" t="inlineStr">
        <is>
          <t>$971</t>
        </is>
      </c>
      <c r="C7" s="4" t="inlineStr">
        <is>
          <t>$989-$1,800</t>
        </is>
      </c>
      <c r="D7" s="8" t="n">
        <v>40</v>
      </c>
      <c r="E7" s="5" t="n">
        <v>971.4299999999999</v>
      </c>
      <c r="F7" s="5">
        <f>E7*(1+D7/100)</f>
        <v/>
      </c>
    </row>
    <row r="8">
      <c r="A8" s="4" t="inlineStr">
        <is>
          <t>Toilets &amp; Bidets</t>
        </is>
      </c>
      <c r="B8" s="4" t="inlineStr">
        <is>
          <t>$1,160-$1,570</t>
        </is>
      </c>
      <c r="C8" s="4" t="inlineStr">
        <is>
          <t>$700-$2,250 (smart high)</t>
        </is>
      </c>
      <c r="D8" s="8" t="n">
        <v>35</v>
      </c>
      <c r="E8" s="5" t="n">
        <v>1569.99</v>
      </c>
      <c r="F8" s="5">
        <f>E8*(1+D8/100)</f>
        <v/>
      </c>
    </row>
    <row r="9">
      <c r="A9" s="4" t="inlineStr">
        <is>
          <t>Shower &amp; Bath</t>
        </is>
      </c>
      <c r="B9" s="4" t="inlineStr">
        <is>
          <t>$581</t>
        </is>
      </c>
      <c r="C9" s="4" t="inlineStr">
        <is>
          <t>$450-$900</t>
        </is>
      </c>
      <c r="D9" s="8" t="n">
        <v>25</v>
      </c>
      <c r="E9" s="5" t="n">
        <v>581.4299999999999</v>
      </c>
      <c r="F9" s="5">
        <f>E9*(1+D9/100)</f>
        <v/>
      </c>
    </row>
    <row r="10">
      <c r="A10" s="4" t="inlineStr">
        <is>
          <t>Quartz Slabs (Countertops)</t>
        </is>
      </c>
      <c r="B10" s="4" t="inlineStr">
        <is>
          <t>$1,250-$1,350</t>
        </is>
      </c>
      <c r="C10" s="4" t="inlineStr">
        <is>
          <t>$850-$1,750</t>
        </is>
      </c>
      <c r="D10" s="8" t="n">
        <v>15</v>
      </c>
      <c r="E10" s="5" t="n">
        <v>1350</v>
      </c>
      <c r="F10" s="5">
        <f>E10*(1+D10/100)</f>
        <v/>
      </c>
    </row>
    <row r="11">
      <c r="A11" s="4" t="inlineStr">
        <is>
          <t>Samples</t>
        </is>
      </c>
      <c r="B11" s="4" t="inlineStr">
        <is>
          <t>low / $0</t>
        </is>
      </c>
      <c r="C11" s="4" t="inlineStr">
        <is>
          <t>n/a - not retail</t>
        </is>
      </c>
      <c r="D11" s="8" t="n">
        <v>0</v>
      </c>
      <c r="E11" s="5" t="n">
        <v>0</v>
      </c>
      <c r="F11" s="5">
        <f>E11*(1+D11/100)</f>
        <v/>
      </c>
    </row>
    <row r="12">
      <c r="A12" s="4" t="inlineStr">
        <is>
          <t>Marketing &amp; Merchandise</t>
        </is>
      </c>
      <c r="B12" s="4" t="inlineStr">
        <is>
          <t>mixed</t>
        </is>
      </c>
      <c r="C12" s="4" t="inlineStr">
        <is>
          <t>n/a - not retail</t>
        </is>
      </c>
      <c r="D12" s="8" t="n">
        <v>0</v>
      </c>
      <c r="E12" s="5" t="n">
        <v>0</v>
      </c>
      <c r="F12" s="5">
        <f>E12*(1+D12/100)</f>
        <v/>
      </c>
    </row>
    <row r="14">
      <c r="A14" s="6" t="inlineStr">
        <is>
          <t>Quartz &amp; Shower carry thin slab-level margin; real margin on those lines comes at fabrication/install. Zero-cost items (Samples/Merch) should be hidden from customer views until priced.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2026-07-03T02:07:27Z</dcterms:created>
  <dcterms:modified xmlns:dcterms="http://purl.org/dc/terms/" xmlns:xsi="http://www.w3.org/2001/XMLSchema-instance" xsi:type="dcterms:W3CDTF">2026-07-03T02:07:27Z</dcterms:modified>
</cp:coreProperties>
</file>